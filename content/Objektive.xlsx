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icha"/>
  <workbookPr/>
  <bookViews>
    <workbookView activeTab="0" xWindow="240" yWindow="60" windowWidth="15600" windowHeight="11760" tabRatio="500"/>
  </bookViews>
  <sheets>
    <sheet name="Tabelle1" sheetId="1" r:id="rId4"/>
  </sheets>
  <calcPr/>
  <extLst>
    <ext uri="smNativeData">
      <pm:revision xmlns:pm="smNativeData" day="1735576706" val="1222" rev="124" revOS="4" revMin="124" revMax="0"/>
      <pm:docPrefs xmlns:pm="smNativeData" id="1735576706" fixedDigits="0" showNotice="1" showFrameBounds="1" autoChart="1" recalcOnPrint="1" recalcOnCopy="1" finalRounding="1" compatTextArt="1" tab="567" useDefinedPrintRange="1" printArea="currentSheet"/>
      <pm:compatibility xmlns:pm="smNativeData" id="1735576706" overlapCells="1"/>
      <pm:defCurrency xmlns:pm="smNativeData" id="1735576706"/>
    </ext>
  </extLst>
</workbook>
</file>

<file path=xl/sharedStrings.xml><?xml version="1.0" encoding="utf-8"?>
<sst xmlns="http://schemas.openxmlformats.org/spreadsheetml/2006/main" count="52" uniqueCount="40">
  <si>
    <t>Marke</t>
  </si>
  <si>
    <t>Brennweite</t>
  </si>
  <si>
    <t>Objektivdurchmesser</t>
  </si>
  <si>
    <t>Blende max</t>
  </si>
  <si>
    <t>Blende min</t>
  </si>
  <si>
    <t>Filterdurchmesser</t>
  </si>
  <si>
    <t>Anschluss</t>
  </si>
  <si>
    <t>Vergrößerung (min)</t>
  </si>
  <si>
    <t>Vergrößerung (max)</t>
  </si>
  <si>
    <t>Crop-Faktor</t>
  </si>
  <si>
    <t>Lebenslater in Jahren</t>
  </si>
  <si>
    <t>Augenpupille in mm</t>
  </si>
  <si>
    <t>Grenzgröße des Auges (normal 6.0)</t>
  </si>
  <si>
    <t>4-5,6</t>
  </si>
  <si>
    <t>75-300</t>
  </si>
  <si>
    <t>EF</t>
  </si>
  <si>
    <t>(Canon EOS550D)</t>
  </si>
  <si>
    <t>Beroflex</t>
  </si>
  <si>
    <t>M42</t>
  </si>
  <si>
    <t>Vivilar</t>
  </si>
  <si>
    <t>Canon</t>
  </si>
  <si>
    <t>28-90</t>
  </si>
  <si>
    <t>18-55</t>
  </si>
  <si>
    <t>EF-S</t>
  </si>
  <si>
    <t>Exakta</t>
  </si>
  <si>
    <t>70-210</t>
  </si>
  <si>
    <t>Revuenon</t>
  </si>
  <si>
    <t>Walimex Pro</t>
  </si>
  <si>
    <t>Skywatcher Makzutov</t>
  </si>
  <si>
    <t>Gesichtsfeld in°</t>
  </si>
  <si>
    <t>Vergrößerung</t>
  </si>
  <si>
    <t>Austrittspupille</t>
  </si>
  <si>
    <t>Gesichtsfeld in °</t>
  </si>
  <si>
    <t>Maximal Sinnvolle Vergrößerung</t>
  </si>
  <si>
    <t>Minimale Vergrößerung</t>
  </si>
  <si>
    <t>Grenzgröße</t>
  </si>
  <si>
    <t>Teleskop</t>
  </si>
  <si>
    <t>Ploessl</t>
  </si>
  <si>
    <t>WA</t>
  </si>
  <si>
    <t>Super</t>
  </si>
</sst>
</file>

<file path=xl/styles.xml><?xml version="1.0" encoding="utf-8"?>
<styleSheet xmlns="http://schemas.openxmlformats.org/spreadsheetml/2006/main">
  <numFmts count="12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" formatCode="DD. MMM"/>
    <numFmt numFmtId="164" formatCode="DD/MM/YY;@"/>
    <numFmt numFmtId="4" formatCode="#,##0.00"/>
    <numFmt numFmtId="1" formatCode="0"/>
  </numFmts>
  <fonts count="3">
    <font>
      <name val="Arial"/>
      <family val="2"/>
      <color rgb="FF000000"/>
      <sz val="10"/>
      <extLst>
        <ext uri="smNativeData">
          <pm:charSpec xmlns:pm="smNativeData" id="173557670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u val="single"/>
      <extLst>
        <ext uri="smNativeData">
          <pm:charSpec xmlns:pm="smNativeData" id="1735576706" ulstyle="singl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35576706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3557670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557670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3557670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4" fontId="1" fillId="0" borderId="0" xfId="0" applyNumberFormat="1" applyFont="1"/>
    <xf numFmtId="4" fontId="0" fillId="0" borderId="0" xfId="0" applyNumberFormat="1"/>
    <xf numFmtId="4" fontId="0" fillId="0" borderId="0" xfId="0" applyNumberFormat="1"/>
    <xf numFmtId="1" fontId="0" fillId="0" borderId="0" xfId="0" applyNumberForma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 customBuiltin="1"/>
  </cellStyles>
  <tableStyles count="0"/>
  <extLst>
    <ext uri="smNativeData">
      <pm:charStyles xmlns:pm="smNativeData" id="1735576706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90000"/>
        </a:solidFill>
        <a:ln w="9525" cap="flat">
          <a:solidFill>
            <a:srgbClr val="400000"/>
          </a:solidFill>
          <a:prstDash val="solid"/>
          <a:headEnd type="none" w="med" len="med"/>
          <a:tailEnd type="none" w="med" len="med"/>
        </a:ln>
        <a:effectLst>
          <a:outerShdw dist="35921" dir="2700000" algn="ctr">
            <a:srgbClr val="808080"/>
          </a:outerShdw>
        </a:effectLst>
      </a:spPr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O21"/>
  <sheetViews>
    <sheetView tabSelected="1" view="normal" zoomScale="106" workbookViewId="0">
      <selection activeCell="J7" sqref="J7"/>
    </sheetView>
  </sheetViews>
  <sheetFormatPr baseColWidth="11" defaultColWidth="11.594595" defaultRowHeight="13.45"/>
  <cols>
    <col min="2" max="2" width="11.054054" customWidth="1"/>
    <col min="3" max="3" width="19.234234" customWidth="1"/>
    <col min="4" max="5" width="11.018018" customWidth="1" style="3"/>
    <col min="6" max="6" width="21.306306" customWidth="1"/>
    <col min="7" max="7" width="14.756757" customWidth="1"/>
    <col min="8" max="8" width="16.387387" customWidth="1"/>
    <col min="9" max="9" width="15.360360" customWidth="1"/>
    <col min="10" max="10" width="28.747748" customWidth="1"/>
    <col min="11" max="11" width="19.522523" customWidth="1"/>
    <col min="14" max="14" width="16.612613" customWidth="1"/>
  </cols>
  <sheetData>
    <row r="1" spans="1:1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M1" t="s">
        <v>10</v>
      </c>
      <c r="N1" t="s">
        <v>11</v>
      </c>
      <c r="O1" t="s">
        <v>12</v>
      </c>
    </row>
    <row r="2" spans="1:15">
      <c r="A2" t="s">
        <v>13</v>
      </c>
      <c r="B2" t="s">
        <v>14</v>
      </c>
      <c r="C2" s="7">
        <f>300/D2</f>
        <v>75</v>
      </c>
      <c r="D2" s="5" t="n">
        <v>4</v>
      </c>
      <c r="E2" s="5" t="n">
        <v>5.59999999999999964</v>
      </c>
      <c r="F2" t="n">
        <v>58</v>
      </c>
      <c r="G2" t="s">
        <v>15</v>
      </c>
      <c r="H2">
        <f>75*J2/43.3</f>
        <v>2.77136258660507995</v>
      </c>
      <c r="I2">
        <f>300*J2/43</f>
        <v>11.1627906976743994</v>
      </c>
      <c r="J2" t="n">
        <v>1.60000000000000009</v>
      </c>
      <c r="K2" t="s">
        <v>16</v>
      </c>
      <c r="M2" t="n">
        <v>10</v>
      </c>
      <c r="N2" t="n">
        <v>8</v>
      </c>
      <c r="O2" t="n">
        <v>6</v>
      </c>
    </row>
    <row r="3" spans="1:14">
      <c r="A3" t="s">
        <v>17</v>
      </c>
      <c r="B3" t="n">
        <v>135</v>
      </c>
      <c r="C3" s="7">
        <f>B3/D3</f>
        <v>48.2142857142857011</v>
      </c>
      <c r="D3" s="3" t="n">
        <v>2.79999999999999982</v>
      </c>
      <c r="E3" s="3" t="n">
        <v>22</v>
      </c>
      <c r="F3" t="n">
        <v>58</v>
      </c>
      <c r="G3" t="s">
        <v>18</v>
      </c>
      <c r="H3">
        <f>B3*$J$2/43.3</f>
        <v>4.98845265588914977</v>
      </c>
      <c r="M3" t="n">
        <v>20</v>
      </c>
      <c r="N3" t="n">
        <v>8</v>
      </c>
    </row>
    <row r="4" spans="1:14">
      <c r="A4" t="s">
        <v>19</v>
      </c>
      <c r="B4" t="n">
        <v>28</v>
      </c>
      <c r="C4" s="7">
        <f>B4/D4</f>
        <v>11.1999999999999993</v>
      </c>
      <c r="D4" s="3" t="n">
        <v>2.5</v>
      </c>
      <c r="F4" t="n">
        <v>58</v>
      </c>
      <c r="G4" t="s">
        <v>18</v>
      </c>
      <c r="H4">
        <f>B4*$J$2/43.3</f>
        <v>1.03464203233256002</v>
      </c>
      <c r="M4" t="n">
        <v>30</v>
      </c>
      <c r="N4" t="n">
        <v>7</v>
      </c>
    </row>
    <row r="5" spans="1:14">
      <c r="A5" t="s">
        <v>20</v>
      </c>
      <c r="B5" s="2" t="s">
        <v>21</v>
      </c>
      <c r="C5" s="7">
        <f>90/D5</f>
        <v>22.5</v>
      </c>
      <c r="D5" s="3" t="n">
        <v>4</v>
      </c>
      <c r="E5" s="3" t="n">
        <v>4.59999999999999964</v>
      </c>
      <c r="F5" t="n">
        <v>58</v>
      </c>
      <c r="G5" t="s">
        <v>15</v>
      </c>
      <c r="H5">
        <f>28*$J$2/43.3</f>
        <v>1.03464203233256002</v>
      </c>
      <c r="I5">
        <f>90*$J$2/43</f>
        <v>3.3488372093023302</v>
      </c>
      <c r="M5" t="n">
        <v>40</v>
      </c>
      <c r="N5" t="n">
        <v>6</v>
      </c>
    </row>
    <row r="6" spans="1:14">
      <c r="A6" t="s">
        <v>20</v>
      </c>
      <c r="B6" s="2" t="s">
        <v>22</v>
      </c>
      <c r="C6" s="7">
        <f>55/D6</f>
        <v>15.7142857142856993</v>
      </c>
      <c r="D6" s="3" t="n">
        <v>3.5</v>
      </c>
      <c r="E6" s="3" t="n">
        <v>5.59999999999999964</v>
      </c>
      <c r="F6" t="n">
        <v>58</v>
      </c>
      <c r="G6" t="s">
        <v>23</v>
      </c>
      <c r="H6">
        <f>18*$J$2/43.3</f>
        <v>0.665127020785219969</v>
      </c>
      <c r="I6">
        <f>55*$J$2/43</f>
        <v>2.04651162790697994</v>
      </c>
      <c r="M6" t="n">
        <v>50</v>
      </c>
      <c r="N6" t="n">
        <v>5</v>
      </c>
    </row>
    <row r="7" spans="1:14">
      <c r="A7" t="s">
        <v>24</v>
      </c>
      <c r="B7" t="s">
        <v>25</v>
      </c>
      <c r="C7" s="7">
        <f>210/D7</f>
        <v>46.6666666666666998</v>
      </c>
      <c r="D7" s="3" t="n">
        <v>4.5</v>
      </c>
      <c r="E7" s="3" t="n">
        <v>5.59999999999999964</v>
      </c>
      <c r="F7" t="n">
        <v>52</v>
      </c>
      <c r="G7" t="s">
        <v>18</v>
      </c>
      <c r="H7">
        <f>70*$J$2/43.3</f>
        <v>2.58660508083141005</v>
      </c>
      <c r="I7">
        <f>210*$J$2/43</f>
        <v>7.81395348837209003</v>
      </c>
      <c r="M7" t="n">
        <v>60</v>
      </c>
      <c r="N7" t="n">
        <v>4</v>
      </c>
    </row>
    <row r="8" spans="1:14">
      <c r="A8" t="s">
        <v>26</v>
      </c>
      <c r="B8" t="n">
        <v>50</v>
      </c>
      <c r="C8" s="7">
        <f>B8/D8</f>
        <v>26.3157894736842017</v>
      </c>
      <c r="D8" s="3" t="n">
        <v>1.9</v>
      </c>
      <c r="E8" s="3" t="n">
        <v>16</v>
      </c>
      <c r="F8" t="n">
        <v>49</v>
      </c>
      <c r="G8" t="s">
        <v>18</v>
      </c>
      <c r="H8">
        <f>B8*$J$2/43.3</f>
        <v>1.84757505773672008</v>
      </c>
      <c r="M8" t="n">
        <v>70</v>
      </c>
      <c r="N8" t="n">
        <v>3</v>
      </c>
    </row>
    <row r="9" spans="1:14" ht="15.05" customHeight="1">
      <c r="A9" t="s">
        <v>27</v>
      </c>
      <c r="B9" t="n">
        <v>14</v>
      </c>
      <c r="C9" s="7">
        <f>B9/D9</f>
        <v>5</v>
      </c>
      <c r="D9" s="6" t="n">
        <v>2.79999999999999982</v>
      </c>
      <c r="E9" s="6" t="n">
        <v>22</v>
      </c>
      <c r="G9" t="s">
        <v>15</v>
      </c>
      <c r="H9">
        <f>B9*$J$2/43.3</f>
        <v>0.517321016166282011</v>
      </c>
      <c r="M9" t="n">
        <v>80</v>
      </c>
      <c r="N9" t="n">
        <v>2.29999999999999982</v>
      </c>
    </row>
    <row r="10" spans="1:8" ht="15.05" customHeight="1">
      <c r="A10" t="s">
        <v>27</v>
      </c>
      <c r="B10" t="n">
        <v>500</v>
      </c>
      <c r="C10" s="7">
        <f>B10/D10</f>
        <v>79.3650793650793958</v>
      </c>
      <c r="D10" s="3" t="n">
        <v>6.29999999999999982</v>
      </c>
      <c r="G10" t="s">
        <v>15</v>
      </c>
      <c r="H10">
        <f>B10*$J$2/43.3</f>
        <v>18.4757505773672008</v>
      </c>
    </row>
    <row r="11" spans="1:8">
      <c r="A11" t="s">
        <v>28</v>
      </c>
      <c r="B11" t="n">
        <v>1500</v>
      </c>
      <c r="C11" t="n">
        <v>127</v>
      </c>
      <c r="D11" s="3">
        <f>B11/C11</f>
        <v>11.8110236220472</v>
      </c>
      <c r="H11">
        <f>B11*$J$2/43.3</f>
        <v>55.4272517321016025</v>
      </c>
    </row>
    <row r="13" spans="6:12">
      <c r="F13" t="s">
        <v>29</v>
      </c>
      <c r="G13" t="s">
        <v>30</v>
      </c>
      <c r="H13" t="s">
        <v>31</v>
      </c>
      <c r="I13" t="s">
        <v>32</v>
      </c>
      <c r="J13" s="8" t="s">
        <v>33</v>
      </c>
      <c r="K13" t="s">
        <v>34</v>
      </c>
      <c r="L13" t="s">
        <v>35</v>
      </c>
    </row>
    <row r="14" spans="1:12">
      <c r="A14" s="8" t="s">
        <v>36</v>
      </c>
      <c r="B14" s="8" t="n">
        <v>1500</v>
      </c>
      <c r="C14" s="8" t="n">
        <v>127</v>
      </c>
      <c r="D14" s="9">
        <f>B14/C14</f>
        <v>11.8110236220472</v>
      </c>
      <c r="E14" s="9"/>
      <c r="F14" s="8"/>
      <c r="G14" s="8"/>
      <c r="H14" s="8"/>
      <c r="I14" s="8"/>
      <c r="J14" s="8">
        <f>2*C14</f>
        <v>254</v>
      </c>
      <c r="K14" s="8">
        <f>C14/N4</f>
        <v>18.1428571428570997</v>
      </c>
      <c r="L14" s="8">
        <f>2.5*LOG(K14^2,10)+O2</f>
        <v>12.2935284047084998</v>
      </c>
    </row>
    <row r="15" spans="1:9">
      <c r="A15" t="s">
        <v>37</v>
      </c>
      <c r="B15" t="n">
        <v>35</v>
      </c>
      <c r="F15" t="n">
        <v>50</v>
      </c>
      <c r="G15">
        <f>$B$14/B15</f>
        <v>42.8571428571428967</v>
      </c>
      <c r="H15">
        <f>102/G15</f>
        <v>2.37999999999999989</v>
      </c>
      <c r="I15">
        <f>F15/G15</f>
        <v>1.16666666666667007</v>
      </c>
    </row>
    <row r="16" spans="1:9">
      <c r="A16" t="s">
        <v>38</v>
      </c>
      <c r="B16" t="n">
        <v>25</v>
      </c>
      <c r="F16" t="n">
        <v>65</v>
      </c>
      <c r="G16">
        <f>$B$14/B16</f>
        <v>60</v>
      </c>
      <c r="H16">
        <f>102/G16</f>
        <v>1.7</v>
      </c>
      <c r="I16">
        <f>F16/G16</f>
        <v>1.08333333333332993</v>
      </c>
    </row>
    <row r="17" spans="1:8">
      <c r="A17" t="s">
        <v>39</v>
      </c>
      <c r="B17" t="n">
        <v>10</v>
      </c>
      <c r="G17">
        <f>$B$14/B17</f>
        <v>150</v>
      </c>
      <c r="H17">
        <f>102/G17</f>
        <v>0.680000000000000071</v>
      </c>
    </row>
    <row r="18" spans="1:9">
      <c r="A18" t="s">
        <v>37</v>
      </c>
      <c r="B18" t="n">
        <v>9</v>
      </c>
      <c r="F18" t="n">
        <v>50</v>
      </c>
      <c r="G18">
        <f>$B$14/B18</f>
        <v>166.666666666666998</v>
      </c>
      <c r="H18">
        <f>102/G18</f>
        <v>0.611999999999999034</v>
      </c>
      <c r="I18">
        <f>F18/G18</f>
        <v>0.29999999999999897</v>
      </c>
    </row>
    <row r="19" spans="1:9">
      <c r="A19" t="s">
        <v>37</v>
      </c>
      <c r="B19" t="n">
        <v>6</v>
      </c>
      <c r="F19" t="n">
        <v>50</v>
      </c>
      <c r="G19">
        <f>$B$14/B19</f>
        <v>250</v>
      </c>
      <c r="H19">
        <f>102/G19</f>
        <v>0.408000000000000007</v>
      </c>
      <c r="I19">
        <f>F19/G19</f>
        <v>0.2</v>
      </c>
    </row>
    <row r="20" spans="1:9">
      <c r="A20" t="s">
        <v>38</v>
      </c>
      <c r="B20" t="n">
        <v>15</v>
      </c>
      <c r="F20" t="n">
        <v>65</v>
      </c>
      <c r="G20">
        <f>$B$14/B20</f>
        <v>100</v>
      </c>
      <c r="H20">
        <f>102/G20</f>
        <v>1.02000000000000002</v>
      </c>
      <c r="I20">
        <f>F20/G20</f>
        <v>0.65</v>
      </c>
    </row>
    <row r="21" spans="1:9">
      <c r="A21" t="s">
        <v>38</v>
      </c>
      <c r="B21" t="n">
        <v>25</v>
      </c>
      <c r="F21" t="n">
        <v>65</v>
      </c>
      <c r="G21">
        <f>B14/B21</f>
        <v>60</v>
      </c>
      <c r="H21">
        <f>102/G21</f>
        <v>1.7</v>
      </c>
      <c r="I21">
        <f>F21/G21</f>
        <v>1.08333333333332993</v>
      </c>
    </row>
  </sheetData>
  <printOptions>
    <extLst>
      <ext uri="smNativeData">
        <pm:pageFlags xmlns:pm="smNativeData" id="1735576706" printRowHead="0" printColHead="0" printHeadLine="1" printFootLine="1" autoHeightHeader="0" autoHeightFooter="0" fitToPageBoth="0"/>
      </ext>
    </extLst>
  </printOptions>
  <pageMargins left="0.787500" right="0.787500" top="1.025000" bottom="1.025000" header="0.787500" footer="0.787500"/>
  <pageSetup paperSize="9" fitToWidth="0" fitToHeight="1" useFirstPageNumber="1"/>
  <headerFooter>
    <oddHeader>&amp;C&amp;A</oddHeader>
    <oddFooter>&amp;CSeite &amp;P</oddFooter>
    <extLst>
      <ext uri="smNativeData">
        <pm:header xmlns:pm="smNativeData" id="1735576706" l="56" r="56" t="56" b="56" borderId="0" fillId="0" vertical="0"/>
        <pm:footer xmlns:pm="smNativeData" id="1735576706" l="56" r="56" t="56" b="56" borderId="0" fillId="0" vertical="2"/>
        <pm:paperBin xmlns:pm="smNativeData" id="1735576706" Id="0" type="0" value="0"/>
        <pm:paperBin xmlns:pm="smNativeData" id="1735576706" Id="1" type="0" value="0"/>
      </ext>
    </extLst>
  </headerFooter>
  <extLst>
    <ext uri="smNativeData">
      <pm:sheetPrefs xmlns:pm="smNativeData" day="17355767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Bengfort</dc:creator>
  <cp:keywords/>
  <dc:description/>
  <cp:lastModifiedBy>micha</cp:lastModifiedBy>
  <cp:revision>0</cp:revision>
  <dcterms:created xsi:type="dcterms:W3CDTF">2021-01-03T12:23:05Z</dcterms:created>
  <dcterms:modified xsi:type="dcterms:W3CDTF">2024-12-30T16:38:26Z</dcterms:modified>
</cp:coreProperties>
</file>